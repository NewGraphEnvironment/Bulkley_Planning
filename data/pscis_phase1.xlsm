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48BFE62F-BD63-4FA0-A9E1-D9BBB759B03F}"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<sst xmlns="http://schemas.openxmlformats.org/spreadsheetml/2006/main" count="471" uniqueCount="167">
  <si>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</si>
  <si>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</si>
  <si>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</si>
  <si>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</si>
  <si>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</si>
  <si>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</si>
  <si>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</si>
  <si>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</si>
  <si>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</si>
  <si>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</si>
  <si>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</si>
  <si>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</si>
  <si>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</si>
  <si>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</si>
  <si>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</si>
  <si>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</si>
  <si>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</si>
  <si>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</si>
  <si>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</si>
  <si>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</si>
  <si>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</si>
  <si>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</si>
  <si>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</si>
  <si>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</si>
  <si>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</si>
  <si>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</si>
  <si>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</si>
  <si>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</si>
  <si>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</si>
  <si>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</si>
  <si>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</si>
  <si>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</si>
  <si>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</si>
  <si>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</si>
  <si>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</si>
  <si>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</si>
  <si>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</si>
  <si>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</si>
  <si>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</si>
  <si>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</si>
  <si>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</si>
  <si>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</si>
  <si>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</si>
  <si>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</si>
  <si>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</si>
  <si>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</si>
  <si>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</si>
  <si>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</si>
  <si>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</si>
  <si>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</si>
  <si>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</si>
  <si>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</si>
  <si>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</si>
  <si>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</si>
  <si>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</si>
  <si>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</si>
  <si>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</si>
  <si>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</si>
  <si>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</si>
  <si>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</si>
  <si>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</si>
  <si>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</si>
  <si>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</si>
  <si>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</si>
  <si>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</si>
  <si>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</si>
  <si>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</si>
  <si>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</si>
  <si>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</si>
  <si>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</si>
  <si>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</si>
  <si>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</si>
  <si>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</si>
  <si>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</si>
  <si>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</si>
  <si>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</si>
  <si>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</si>
  <si>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</si>
  <si>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</si>
  <si>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</si>
  <si>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</si>
  <si>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</si>
  <si>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</si>
  <si>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</si>
  <si>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</si>
  <si>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</si>
  <si>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</si>
  <si>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</si>
  <si>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</si>
  <si>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</si>
  <si>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</si>
  <si>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</si>
  <si>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</si>
  <si>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</si>
  <si>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</si>
  <si>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</si>
  <si>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</si>
  <si>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</si>
  <si>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</si>
  <si>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</si>
  <si>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</si>
  <si>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</si>
  <si>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</si>
  <si>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</si>
  <si>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</si>
  <si>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</si>
  <si>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</si>
  <si>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</si>
  <si>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</si>
  <si>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</si>
  <si>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</si>
  <si>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</si>
  <si>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</si>
  <si>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</si>
  <si>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</si>
  <si>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</si>
  <si>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</si>
  <si>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</si>
  <si>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</si>
  <si>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</si>
  <si>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</si>
  <si>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</si>
  <si>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</si>
  <si>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</si>
  <si>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</si>
  <si>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</si>
  <si>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</si>
  <si>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</si>
  <si>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</si>
  <si>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</si>
  <si>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</si>
  <si>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</si>
  <si>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</si>
  <si>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</si>
  <si>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</si>
  <si>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</si>
  <si>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</si>
  <si>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Add Substrate to Further embed the CBS</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</si>
  <si>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</si>
  <si>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</si>
  <si>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</si>
  <si>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</si>
  <si>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</si>
  <si>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</si>
  <si>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</si>
  <si>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</si>
  <si>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</si>
  <si>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</si>
  <si>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</si>
  <si>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</si>
  <si>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</si>
  <si>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</si>
  <si>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</si>
  <si>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</si>
  <si>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MoTI</t>
  </si>
  <si>
    <t>CN</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</si>
  <si>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</si>
  <si>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</si>
  <si>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</si>
  <si>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</si>
  <si>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CN Rail</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</si>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</sst>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0" fontId="0" fillId="10" borderId="0" xfId="0"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23" activePane="bottomLeft" state="frozen"/>
      <selection pane="bottomLeft" activeCell="H38" sqref="H3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44069</v>
      </c>
      <c r="B5" s="112"/>
      <c r="C5" s="116">
        <v>1800092</v>
      </c>
      <c r="D5" s="116" t="s">
        <v>92</v>
      </c>
      <c r="E5" s="77">
        <v>9</v>
      </c>
      <c r="F5" s="53">
        <v>654311.97754660703</v>
      </c>
      <c r="G5" s="51">
        <v>6012382.7118395399</v>
      </c>
      <c r="H5" s="11" t="s">
        <v>93</v>
      </c>
      <c r="I5" s="11" t="s">
        <v>94</v>
      </c>
      <c r="J5" s="104"/>
      <c r="K5" s="11"/>
      <c r="L5" s="116" t="s">
        <v>95</v>
      </c>
      <c r="M5" s="116" t="s">
        <v>96</v>
      </c>
      <c r="N5" s="109">
        <v>1.5</v>
      </c>
      <c r="O5" s="109">
        <v>12</v>
      </c>
      <c r="P5" s="116" t="s">
        <v>97</v>
      </c>
      <c r="Q5" s="121"/>
      <c r="R5" s="116" t="s">
        <v>97</v>
      </c>
      <c r="S5" s="116" t="s">
        <v>97</v>
      </c>
      <c r="T5" s="121"/>
      <c r="U5" s="116">
        <v>1</v>
      </c>
      <c r="V5" s="116">
        <v>0.4</v>
      </c>
      <c r="W5" s="116">
        <v>1.2</v>
      </c>
      <c r="X5" s="116" t="s">
        <v>97</v>
      </c>
      <c r="Y5" s="116">
        <v>1.49</v>
      </c>
      <c r="Z5" s="116">
        <v>5.0999999999999996</v>
      </c>
      <c r="AA5" s="116">
        <v>3</v>
      </c>
      <c r="AB5" s="115" t="s">
        <v>97</v>
      </c>
      <c r="AC5" s="115" t="s">
        <v>98</v>
      </c>
      <c r="AD5" s="116" t="s">
        <v>99</v>
      </c>
      <c r="AE5" s="116" t="s">
        <v>100</v>
      </c>
      <c r="AF5" s="22">
        <f>IF(ISBLANK(Z5), 0, IF(ISBLANK(N5) &lt; 0, 0,Z5 / N5))</f>
        <v>3.4</v>
      </c>
      <c r="AG5" s="15">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101</v>
      </c>
      <c r="AO5" s="116">
        <v>12</v>
      </c>
      <c r="AP5" s="103" t="s">
        <v>102</v>
      </c>
    </row>
    <row r="6" spans="1:42" s="13" customFormat="1" x14ac:dyDescent="0.25">
      <c r="A6" s="117">
        <v>44069</v>
      </c>
      <c r="B6" s="112"/>
      <c r="C6" s="116">
        <v>1805182</v>
      </c>
      <c r="D6" s="116" t="s">
        <v>103</v>
      </c>
      <c r="E6" s="77">
        <v>9</v>
      </c>
      <c r="F6" s="78">
        <v>675368.15995039698</v>
      </c>
      <c r="G6" s="79">
        <v>6004483.68258618</v>
      </c>
      <c r="H6" s="116" t="s">
        <v>93</v>
      </c>
      <c r="I6" s="77" t="s">
        <v>104</v>
      </c>
      <c r="J6" s="104">
        <v>43.9</v>
      </c>
      <c r="K6" s="116"/>
      <c r="L6" s="116" t="s">
        <v>105</v>
      </c>
      <c r="M6" s="116" t="s">
        <v>106</v>
      </c>
      <c r="N6" s="109">
        <v>4.5</v>
      </c>
      <c r="O6" s="109">
        <v>18</v>
      </c>
      <c r="P6" s="121"/>
      <c r="Q6" s="121"/>
      <c r="R6" s="121"/>
      <c r="S6" s="121"/>
      <c r="T6" s="121"/>
      <c r="U6" s="121"/>
      <c r="V6" s="121"/>
      <c r="W6" s="121"/>
      <c r="X6" s="121"/>
      <c r="Y6" s="121"/>
      <c r="Z6" s="121"/>
      <c r="AA6" s="121"/>
      <c r="AB6" s="115" t="s">
        <v>97</v>
      </c>
      <c r="AC6" s="115" t="s">
        <v>97</v>
      </c>
      <c r="AD6" s="121"/>
      <c r="AE6" s="121"/>
      <c r="AF6" s="22">
        <f t="shared" ref="AF6:AF11" si="0">IF(ISBLANK(Z6), 0, IF(ISBLANK(N6) &lt; 0, 0,Z6 / N6))</f>
        <v>0</v>
      </c>
      <c r="AG6" s="15">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115</v>
      </c>
    </row>
    <row r="7" spans="1:42" s="13" customFormat="1" x14ac:dyDescent="0.25">
      <c r="A7" s="117">
        <v>44069</v>
      </c>
      <c r="B7" s="112"/>
      <c r="C7" s="116">
        <v>1805455</v>
      </c>
      <c r="D7" s="116" t="s">
        <v>92</v>
      </c>
      <c r="E7" s="77">
        <v>9</v>
      </c>
      <c r="F7" s="78">
        <v>675328.79793525103</v>
      </c>
      <c r="G7" s="79">
        <v>6004247.3583311299</v>
      </c>
      <c r="H7" s="116" t="s">
        <v>93</v>
      </c>
      <c r="I7" s="77" t="s">
        <v>107</v>
      </c>
      <c r="J7" s="104">
        <v>0.2</v>
      </c>
      <c r="K7" s="116"/>
      <c r="L7" s="116" t="s">
        <v>108</v>
      </c>
      <c r="M7" s="116" t="s">
        <v>109</v>
      </c>
      <c r="N7" s="122"/>
      <c r="O7" s="122"/>
      <c r="P7" s="121"/>
      <c r="Q7" s="121"/>
      <c r="R7" s="121"/>
      <c r="S7" s="121"/>
      <c r="T7" s="121"/>
      <c r="U7" s="121"/>
      <c r="V7" s="121"/>
      <c r="W7" s="121"/>
      <c r="X7" s="121"/>
      <c r="Y7" s="121"/>
      <c r="Z7" s="121"/>
      <c r="AA7" s="121"/>
      <c r="AB7" s="115" t="s">
        <v>97</v>
      </c>
      <c r="AC7" s="115" t="s">
        <v>97</v>
      </c>
      <c r="AD7" s="121"/>
      <c r="AE7" s="121"/>
      <c r="AF7" s="22">
        <f t="shared" si="0"/>
        <v>0</v>
      </c>
      <c r="AG7" s="15">
        <f t="shared" si="1"/>
        <v>0</v>
      </c>
      <c r="AH7" s="7">
        <f t="shared" si="2"/>
        <v>0</v>
      </c>
      <c r="AI7" s="7">
        <f t="shared" si="3"/>
        <v>0</v>
      </c>
      <c r="AJ7" s="7">
        <f t="shared" si="4"/>
        <v>0</v>
      </c>
      <c r="AK7" s="12">
        <f t="shared" si="5"/>
        <v>0</v>
      </c>
      <c r="AL7" s="14">
        <f t="shared" si="6"/>
        <v>0</v>
      </c>
      <c r="AM7" s="16" t="str">
        <f t="shared" si="7"/>
        <v>Unknown</v>
      </c>
      <c r="AN7" s="116"/>
      <c r="AO7" s="116"/>
      <c r="AP7" s="116" t="s">
        <v>110</v>
      </c>
    </row>
    <row r="8" spans="1:42" s="13" customFormat="1" x14ac:dyDescent="0.25">
      <c r="A8" s="117">
        <v>44069</v>
      </c>
      <c r="B8" s="110"/>
      <c r="C8" s="116">
        <v>1805183</v>
      </c>
      <c r="D8" s="116" t="s">
        <v>103</v>
      </c>
      <c r="E8" s="77">
        <v>9</v>
      </c>
      <c r="F8" s="78">
        <v>677098.70970929996</v>
      </c>
      <c r="G8" s="79">
        <v>6003221.4383239998</v>
      </c>
      <c r="H8" s="116" t="s">
        <v>111</v>
      </c>
      <c r="I8" s="77" t="s">
        <v>112</v>
      </c>
      <c r="J8" s="105">
        <v>0.1</v>
      </c>
      <c r="K8" s="108"/>
      <c r="L8" s="116" t="s">
        <v>105</v>
      </c>
      <c r="M8" s="116" t="s">
        <v>113</v>
      </c>
      <c r="N8" s="114">
        <v>4.7</v>
      </c>
      <c r="O8" s="114">
        <v>16</v>
      </c>
      <c r="P8" s="121"/>
      <c r="Q8" s="121"/>
      <c r="R8" s="121"/>
      <c r="S8" s="121"/>
      <c r="T8" s="121"/>
      <c r="U8" s="121"/>
      <c r="V8" s="121"/>
      <c r="W8" s="121"/>
      <c r="X8" s="121"/>
      <c r="Y8" s="121"/>
      <c r="Z8" s="121"/>
      <c r="AA8" s="121"/>
      <c r="AB8" s="115" t="s">
        <v>97</v>
      </c>
      <c r="AC8" s="115" t="s">
        <v>97</v>
      </c>
      <c r="AD8" s="121"/>
      <c r="AE8" s="121"/>
      <c r="AF8" s="22">
        <f t="shared" si="0"/>
        <v>0</v>
      </c>
      <c r="AG8" s="15">
        <f t="shared" si="1"/>
        <v>3</v>
      </c>
      <c r="AH8" s="7">
        <f t="shared" si="2"/>
        <v>0</v>
      </c>
      <c r="AI8" s="7">
        <f t="shared" si="3"/>
        <v>0</v>
      </c>
      <c r="AJ8" s="7">
        <f t="shared" si="4"/>
        <v>0</v>
      </c>
      <c r="AK8" s="12">
        <f t="shared" si="5"/>
        <v>0</v>
      </c>
      <c r="AL8" s="14">
        <f t="shared" si="6"/>
        <v>3</v>
      </c>
      <c r="AM8" s="16" t="str">
        <f t="shared" si="7"/>
        <v>Passable</v>
      </c>
      <c r="AN8" s="121"/>
      <c r="AO8" s="121"/>
      <c r="AP8" s="116" t="s">
        <v>114</v>
      </c>
    </row>
    <row r="9" spans="1:42" x14ac:dyDescent="0.25">
      <c r="A9" s="117">
        <v>44069</v>
      </c>
      <c r="B9" s="111"/>
      <c r="C9" s="116">
        <v>1803661</v>
      </c>
      <c r="D9" s="116" t="s">
        <v>92</v>
      </c>
      <c r="E9" s="77">
        <v>9</v>
      </c>
      <c r="F9" s="78">
        <v>677101.13973085606</v>
      </c>
      <c r="G9" s="79">
        <v>6003176.9424158596</v>
      </c>
      <c r="H9" s="103" t="s">
        <v>93</v>
      </c>
      <c r="I9" s="77" t="s">
        <v>107</v>
      </c>
      <c r="J9" s="104">
        <v>0.1</v>
      </c>
      <c r="K9" s="108"/>
      <c r="L9" s="116" t="s">
        <v>108</v>
      </c>
      <c r="M9" s="115" t="s">
        <v>109</v>
      </c>
      <c r="N9" s="123"/>
      <c r="O9" s="123"/>
      <c r="P9" s="121"/>
      <c r="Q9" s="121"/>
      <c r="R9" s="121"/>
      <c r="S9" s="121"/>
      <c r="T9" s="121"/>
      <c r="U9" s="121"/>
      <c r="V9" s="121"/>
      <c r="W9" s="121"/>
      <c r="X9" s="121"/>
      <c r="Y9" s="121"/>
      <c r="Z9" s="121"/>
      <c r="AA9" s="121"/>
      <c r="AB9" s="115" t="s">
        <v>97</v>
      </c>
      <c r="AC9" s="115" t="s">
        <v>97</v>
      </c>
      <c r="AD9" s="121"/>
      <c r="AE9" s="121"/>
      <c r="AF9" s="22">
        <f t="shared" si="0"/>
        <v>0</v>
      </c>
      <c r="AG9" s="15">
        <f t="shared" si="1"/>
        <v>0</v>
      </c>
      <c r="AH9" s="7">
        <f t="shared" si="2"/>
        <v>0</v>
      </c>
      <c r="AI9" s="7">
        <f t="shared" si="3"/>
        <v>0</v>
      </c>
      <c r="AJ9" s="7">
        <f t="shared" si="4"/>
        <v>0</v>
      </c>
      <c r="AK9" s="12">
        <f t="shared" si="5"/>
        <v>0</v>
      </c>
      <c r="AL9" s="14">
        <f t="shared" si="6"/>
        <v>0</v>
      </c>
      <c r="AM9" s="16" t="str">
        <f t="shared" si="7"/>
        <v>Unknown</v>
      </c>
      <c r="AN9" s="116"/>
      <c r="AO9" s="116"/>
      <c r="AP9" s="116" t="s">
        <v>110</v>
      </c>
    </row>
    <row r="10" spans="1:42" x14ac:dyDescent="0.25">
      <c r="A10" s="117">
        <v>44069</v>
      </c>
      <c r="B10" s="111"/>
      <c r="C10" s="116">
        <v>1800472</v>
      </c>
      <c r="D10" s="116" t="s">
        <v>103</v>
      </c>
      <c r="E10" s="77">
        <v>9</v>
      </c>
      <c r="F10" s="78">
        <v>678411.04708632198</v>
      </c>
      <c r="G10" s="79">
        <v>6002820.9565134896</v>
      </c>
      <c r="H10" s="103" t="s">
        <v>93</v>
      </c>
      <c r="I10" s="77" t="s">
        <v>104</v>
      </c>
      <c r="J10" s="104">
        <v>47.1</v>
      </c>
      <c r="K10" s="116"/>
      <c r="L10" s="116" t="s">
        <v>105</v>
      </c>
      <c r="M10" s="116" t="s">
        <v>106</v>
      </c>
      <c r="N10" s="114">
        <v>7</v>
      </c>
      <c r="O10" s="114">
        <v>21</v>
      </c>
      <c r="P10" s="121"/>
      <c r="Q10" s="122"/>
      <c r="R10" s="121"/>
      <c r="S10" s="121"/>
      <c r="T10" s="122"/>
      <c r="U10" s="122"/>
      <c r="V10" s="121"/>
      <c r="W10" s="122"/>
      <c r="X10" s="121"/>
      <c r="Y10" s="122"/>
      <c r="Z10" s="122"/>
      <c r="AA10" s="121"/>
      <c r="AB10" s="116" t="s">
        <v>97</v>
      </c>
      <c r="AC10" s="116" t="s">
        <v>97</v>
      </c>
      <c r="AD10" s="121"/>
      <c r="AE10" s="121"/>
      <c r="AF10" s="22">
        <f t="shared" si="0"/>
        <v>0</v>
      </c>
      <c r="AG10" s="15">
        <f t="shared" si="1"/>
        <v>3</v>
      </c>
      <c r="AH10" s="7">
        <f t="shared" si="2"/>
        <v>0</v>
      </c>
      <c r="AI10" s="7">
        <f t="shared" si="3"/>
        <v>0</v>
      </c>
      <c r="AJ10" s="7">
        <f t="shared" si="4"/>
        <v>0</v>
      </c>
      <c r="AK10" s="12">
        <f t="shared" si="5"/>
        <v>0</v>
      </c>
      <c r="AL10" s="14">
        <f t="shared" si="6"/>
        <v>3</v>
      </c>
      <c r="AM10" s="16" t="str">
        <f t="shared" si="7"/>
        <v>Passable</v>
      </c>
      <c r="AN10" s="124"/>
      <c r="AO10" s="122"/>
      <c r="AP10" s="116" t="s">
        <v>115</v>
      </c>
    </row>
    <row r="11" spans="1:42" x14ac:dyDescent="0.25">
      <c r="A11" s="117">
        <v>44069</v>
      </c>
      <c r="B11" s="111"/>
      <c r="C11" s="103">
        <v>1802520</v>
      </c>
      <c r="D11" s="115" t="s">
        <v>92</v>
      </c>
      <c r="E11" s="115">
        <v>9</v>
      </c>
      <c r="F11" s="107">
        <v>672022.98369762802</v>
      </c>
      <c r="G11" s="106">
        <v>6005199.61528154</v>
      </c>
      <c r="H11" s="103" t="s">
        <v>93</v>
      </c>
      <c r="I11" s="77" t="s">
        <v>107</v>
      </c>
      <c r="J11" s="104"/>
      <c r="K11" s="115" t="s">
        <v>116</v>
      </c>
      <c r="L11" s="116" t="s">
        <v>95</v>
      </c>
      <c r="M11" s="116" t="s">
        <v>96</v>
      </c>
      <c r="N11" s="113">
        <v>1</v>
      </c>
      <c r="O11" s="113">
        <v>10</v>
      </c>
      <c r="P11" s="115" t="s">
        <v>97</v>
      </c>
      <c r="Q11" s="123"/>
      <c r="R11" s="115" t="s">
        <v>97</v>
      </c>
      <c r="S11" s="115" t="s">
        <v>97</v>
      </c>
      <c r="T11" s="123"/>
      <c r="U11" s="113">
        <v>1.2</v>
      </c>
      <c r="V11" s="115">
        <v>0</v>
      </c>
      <c r="W11" s="113">
        <v>0.42</v>
      </c>
      <c r="X11" s="115" t="s">
        <v>97</v>
      </c>
      <c r="Y11" s="113">
        <v>1</v>
      </c>
      <c r="Z11" s="113">
        <v>1.4</v>
      </c>
      <c r="AA11" s="115">
        <v>5</v>
      </c>
      <c r="AB11" s="115" t="s">
        <v>98</v>
      </c>
      <c r="AC11" s="115" t="s">
        <v>97</v>
      </c>
      <c r="AD11" s="115" t="s">
        <v>99</v>
      </c>
      <c r="AE11" s="115" t="s">
        <v>117</v>
      </c>
      <c r="AF11" s="22">
        <f t="shared" si="0"/>
        <v>1.4</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118</v>
      </c>
      <c r="AO11" s="116">
        <v>5</v>
      </c>
      <c r="AP11" s="116" t="s">
        <v>119</v>
      </c>
    </row>
    <row r="12" spans="1:42" ht="30" x14ac:dyDescent="0.25">
      <c r="A12" s="82">
        <v>44069</v>
      </c>
      <c r="B12" s="73"/>
      <c r="C12" s="25">
        <v>1804986</v>
      </c>
      <c r="D12" s="25" t="s">
        <v>103</v>
      </c>
      <c r="E12" s="77">
        <v>9</v>
      </c>
      <c r="F12" s="78">
        <v>651263.50153251202</v>
      </c>
      <c r="G12" s="79">
        <v>6012508.4558107099</v>
      </c>
      <c r="H12" s="77" t="s">
        <v>93</v>
      </c>
      <c r="I12" s="77" t="s">
        <v>120</v>
      </c>
      <c r="J12" s="42">
        <v>15.5</v>
      </c>
      <c r="K12" s="77"/>
      <c r="L12" s="25" t="s">
        <v>95</v>
      </c>
      <c r="M12" s="25" t="s">
        <v>96</v>
      </c>
      <c r="N12" s="114">
        <v>1</v>
      </c>
      <c r="O12" s="114">
        <v>15.5</v>
      </c>
      <c r="P12" s="116" t="s">
        <v>97</v>
      </c>
      <c r="Q12" s="121"/>
      <c r="R12" s="116" t="s">
        <v>97</v>
      </c>
      <c r="S12" s="116" t="s">
        <v>97</v>
      </c>
      <c r="T12" s="122"/>
      <c r="U12" s="114">
        <v>1.8</v>
      </c>
      <c r="V12" s="116">
        <v>0.3</v>
      </c>
      <c r="W12" s="114">
        <v>0</v>
      </c>
      <c r="X12" s="116" t="s">
        <v>97</v>
      </c>
      <c r="Y12" s="114">
        <v>1.5</v>
      </c>
      <c r="Z12" s="114">
        <v>1.5</v>
      </c>
      <c r="AA12" s="116">
        <v>2</v>
      </c>
      <c r="AB12" s="25" t="s">
        <v>97</v>
      </c>
      <c r="AC12" s="25" t="s">
        <v>97</v>
      </c>
      <c r="AD12" s="116" t="s">
        <v>99</v>
      </c>
      <c r="AE12" s="116" t="s">
        <v>121</v>
      </c>
      <c r="AF12" s="22">
        <f t="shared" ref="AF12:AF72" si="8">IF(ISBLANK(Z12), 0, IF(ISBLANK(N12) &lt; 0, 0,Z12 / N12))</f>
        <v>1.5</v>
      </c>
      <c r="AG12" s="15">
        <f t="shared" si="1"/>
        <v>3</v>
      </c>
      <c r="AH12" s="7">
        <f t="shared" si="2"/>
        <v>10</v>
      </c>
      <c r="AI12" s="7">
        <f t="shared" si="3"/>
        <v>10</v>
      </c>
      <c r="AJ12" s="7">
        <f t="shared" si="4"/>
        <v>5</v>
      </c>
      <c r="AK12" s="12">
        <f t="shared" si="5"/>
        <v>6</v>
      </c>
      <c r="AL12" s="14">
        <f t="shared" ref="AL12:AL70" si="9">AG12 + AH12 + AI12 + AJ12 + AK12</f>
        <v>34</v>
      </c>
      <c r="AM12" s="16" t="str">
        <f t="shared" si="7"/>
        <v>Barrier</v>
      </c>
      <c r="AN12" s="116" t="s">
        <v>118</v>
      </c>
      <c r="AO12" s="114">
        <v>5</v>
      </c>
      <c r="AP12" s="25" t="s">
        <v>122</v>
      </c>
    </row>
    <row r="13" spans="1:42" ht="30" x14ac:dyDescent="0.25">
      <c r="A13" s="82">
        <v>44069</v>
      </c>
      <c r="B13" s="76"/>
      <c r="C13" s="25">
        <v>1804153</v>
      </c>
      <c r="D13" s="25" t="s">
        <v>103</v>
      </c>
      <c r="E13" s="77">
        <v>9</v>
      </c>
      <c r="F13" s="78">
        <v>653554</v>
      </c>
      <c r="G13" s="79">
        <v>6015856</v>
      </c>
      <c r="H13" s="77" t="s">
        <v>93</v>
      </c>
      <c r="I13" s="77" t="s">
        <v>123</v>
      </c>
      <c r="J13" s="80"/>
      <c r="K13" s="77"/>
      <c r="L13" s="25" t="s">
        <v>105</v>
      </c>
      <c r="M13" s="25" t="s">
        <v>113</v>
      </c>
      <c r="N13" s="114">
        <v>5</v>
      </c>
      <c r="O13" s="114">
        <v>9</v>
      </c>
      <c r="P13" s="121"/>
      <c r="Q13" s="121"/>
      <c r="R13" s="121"/>
      <c r="S13" s="121"/>
      <c r="T13" s="121"/>
      <c r="U13" s="122"/>
      <c r="V13" s="121"/>
      <c r="W13" s="122"/>
      <c r="X13" s="121"/>
      <c r="Y13" s="122"/>
      <c r="Z13" s="122"/>
      <c r="AA13" s="121"/>
      <c r="AB13" s="25" t="s">
        <v>97</v>
      </c>
      <c r="AC13" s="25" t="s">
        <v>97</v>
      </c>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Passable</v>
      </c>
      <c r="AN13" s="121"/>
      <c r="AO13" s="122"/>
      <c r="AP13" s="25" t="s">
        <v>124</v>
      </c>
    </row>
    <row r="14" spans="1:42" ht="30" x14ac:dyDescent="0.25">
      <c r="A14" s="82">
        <v>44069</v>
      </c>
      <c r="B14" s="76"/>
      <c r="C14" s="25">
        <v>1804151</v>
      </c>
      <c r="D14" s="25" t="s">
        <v>103</v>
      </c>
      <c r="E14" s="77">
        <v>9</v>
      </c>
      <c r="F14" s="78">
        <v>652876.146480266</v>
      </c>
      <c r="G14" s="79">
        <v>6017366.7883872604</v>
      </c>
      <c r="H14" s="77" t="s">
        <v>93</v>
      </c>
      <c r="I14" s="77" t="s">
        <v>123</v>
      </c>
      <c r="J14" s="80"/>
      <c r="K14" s="77"/>
      <c r="L14" s="25" t="s">
        <v>105</v>
      </c>
      <c r="M14" s="25" t="s">
        <v>113</v>
      </c>
      <c r="N14" s="114">
        <v>5.5</v>
      </c>
      <c r="O14" s="114">
        <v>12</v>
      </c>
      <c r="P14" s="121"/>
      <c r="Q14" s="121"/>
      <c r="R14" s="121"/>
      <c r="S14" s="121"/>
      <c r="T14" s="121"/>
      <c r="U14" s="122"/>
      <c r="V14" s="121"/>
      <c r="W14" s="122"/>
      <c r="X14" s="121"/>
      <c r="Y14" s="122"/>
      <c r="Z14" s="122"/>
      <c r="AA14" s="121"/>
      <c r="AB14" s="25" t="s">
        <v>97</v>
      </c>
      <c r="AC14" s="25" t="s">
        <v>97</v>
      </c>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Passable</v>
      </c>
      <c r="AN14" s="121"/>
      <c r="AO14" s="122"/>
      <c r="AP14" s="25" t="s">
        <v>124</v>
      </c>
    </row>
    <row r="15" spans="1:42" x14ac:dyDescent="0.25">
      <c r="A15" s="82">
        <v>44069</v>
      </c>
      <c r="B15" s="76"/>
      <c r="C15" s="25">
        <v>1804851</v>
      </c>
      <c r="D15" s="25" t="s">
        <v>103</v>
      </c>
      <c r="E15" s="77">
        <v>9</v>
      </c>
      <c r="F15" s="78">
        <v>654032.39180147403</v>
      </c>
      <c r="G15" s="79">
        <v>6020242.25224928</v>
      </c>
      <c r="H15" s="77" t="s">
        <v>125</v>
      </c>
      <c r="I15" s="77" t="s">
        <v>126</v>
      </c>
      <c r="J15" s="80"/>
      <c r="K15" s="77"/>
      <c r="L15" s="25" t="s">
        <v>105</v>
      </c>
      <c r="M15" s="25" t="s">
        <v>113</v>
      </c>
      <c r="N15" s="114">
        <v>4.8</v>
      </c>
      <c r="O15" s="114">
        <v>13</v>
      </c>
      <c r="P15" s="121"/>
      <c r="Q15" s="121"/>
      <c r="R15" s="121"/>
      <c r="S15" s="121"/>
      <c r="T15" s="122"/>
      <c r="U15" s="122"/>
      <c r="V15" s="121"/>
      <c r="W15" s="122"/>
      <c r="X15" s="121"/>
      <c r="Y15" s="122"/>
      <c r="Z15" s="122"/>
      <c r="AA15" s="121"/>
      <c r="AB15" s="25" t="s">
        <v>97</v>
      </c>
      <c r="AC15" s="25" t="s">
        <v>97</v>
      </c>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116" t="s">
        <v>124</v>
      </c>
    </row>
    <row r="16" spans="1:42" ht="30" x14ac:dyDescent="0.25">
      <c r="A16" s="82">
        <v>44069</v>
      </c>
      <c r="B16" s="76"/>
      <c r="C16" s="25">
        <v>1800868</v>
      </c>
      <c r="D16" s="25" t="s">
        <v>92</v>
      </c>
      <c r="E16" s="77">
        <v>9</v>
      </c>
      <c r="F16" s="78">
        <v>672888.02261101303</v>
      </c>
      <c r="G16" s="79">
        <v>6005374.9701406099</v>
      </c>
      <c r="H16" s="77" t="s">
        <v>127</v>
      </c>
      <c r="I16" s="77" t="s">
        <v>107</v>
      </c>
      <c r="J16" s="80">
        <v>0.1</v>
      </c>
      <c r="K16" s="77"/>
      <c r="L16" s="25" t="s">
        <v>108</v>
      </c>
      <c r="M16" s="25" t="s">
        <v>109</v>
      </c>
      <c r="N16" s="122"/>
      <c r="O16" s="122"/>
      <c r="P16" s="121"/>
      <c r="Q16" s="121"/>
      <c r="R16" s="121"/>
      <c r="S16" s="121"/>
      <c r="T16" s="122"/>
      <c r="U16" s="122"/>
      <c r="V16" s="121"/>
      <c r="W16" s="122"/>
      <c r="X16" s="121"/>
      <c r="Y16" s="122"/>
      <c r="Z16" s="122"/>
      <c r="AA16" s="121"/>
      <c r="AB16" s="25" t="s">
        <v>97</v>
      </c>
      <c r="AC16" s="25" t="s">
        <v>97</v>
      </c>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110</v>
      </c>
    </row>
    <row r="17" spans="1:42" x14ac:dyDescent="0.25">
      <c r="A17" s="82">
        <v>44070</v>
      </c>
      <c r="B17" s="76"/>
      <c r="C17" s="25">
        <v>1801077</v>
      </c>
      <c r="D17" s="25" t="s">
        <v>103</v>
      </c>
      <c r="E17" s="77">
        <v>9</v>
      </c>
      <c r="F17" s="78">
        <v>661696.00822342397</v>
      </c>
      <c r="G17" s="79">
        <v>6039603.0454586204</v>
      </c>
      <c r="H17" s="77" t="s">
        <v>128</v>
      </c>
      <c r="I17" s="77" t="s">
        <v>129</v>
      </c>
      <c r="J17" s="80"/>
      <c r="K17" s="77"/>
      <c r="L17" s="25" t="s">
        <v>108</v>
      </c>
      <c r="M17" s="25" t="s">
        <v>109</v>
      </c>
      <c r="N17" s="122"/>
      <c r="O17" s="122"/>
      <c r="P17" s="121"/>
      <c r="Q17" s="122"/>
      <c r="R17" s="121"/>
      <c r="S17" s="121"/>
      <c r="T17" s="121"/>
      <c r="U17" s="122"/>
      <c r="V17" s="121"/>
      <c r="W17" s="122"/>
      <c r="X17" s="121"/>
      <c r="Y17" s="122"/>
      <c r="Z17" s="122"/>
      <c r="AA17" s="121"/>
      <c r="AB17" s="25" t="s">
        <v>97</v>
      </c>
      <c r="AC17" s="25" t="s">
        <v>97</v>
      </c>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Unknown</v>
      </c>
      <c r="AN17" s="116"/>
      <c r="AO17" s="114"/>
      <c r="AP17" s="25" t="s">
        <v>110</v>
      </c>
    </row>
    <row r="18" spans="1:42" x14ac:dyDescent="0.25">
      <c r="A18" s="82">
        <v>44070</v>
      </c>
      <c r="B18" s="76"/>
      <c r="C18" s="25">
        <v>1800068</v>
      </c>
      <c r="D18" s="25" t="s">
        <v>103</v>
      </c>
      <c r="E18" s="77">
        <v>9</v>
      </c>
      <c r="F18" s="78">
        <v>665518.060374683</v>
      </c>
      <c r="G18" s="79">
        <v>6044192.1242849901</v>
      </c>
      <c r="H18" s="77" t="s">
        <v>130</v>
      </c>
      <c r="I18" s="77" t="s">
        <v>131</v>
      </c>
      <c r="J18" s="80">
        <v>0.1</v>
      </c>
      <c r="K18" s="77"/>
      <c r="L18" s="25" t="s">
        <v>95</v>
      </c>
      <c r="M18" s="25" t="s">
        <v>96</v>
      </c>
      <c r="N18" s="114">
        <v>2</v>
      </c>
      <c r="O18" s="114">
        <v>32</v>
      </c>
      <c r="P18" s="116" t="s">
        <v>97</v>
      </c>
      <c r="Q18" s="121"/>
      <c r="R18" s="116" t="s">
        <v>97</v>
      </c>
      <c r="S18" s="116" t="s">
        <v>97</v>
      </c>
      <c r="T18" s="122"/>
      <c r="U18" s="114">
        <v>1</v>
      </c>
      <c r="V18" s="116">
        <v>0.33</v>
      </c>
      <c r="W18" s="114">
        <v>0.26</v>
      </c>
      <c r="X18" s="116" t="s">
        <v>97</v>
      </c>
      <c r="Y18" s="114">
        <v>2.5</v>
      </c>
      <c r="Z18" s="114">
        <v>2.5</v>
      </c>
      <c r="AA18" s="116">
        <v>3</v>
      </c>
      <c r="AB18" s="25" t="s">
        <v>98</v>
      </c>
      <c r="AC18" s="25" t="s">
        <v>97</v>
      </c>
      <c r="AD18" s="116" t="s">
        <v>99</v>
      </c>
      <c r="AE18" s="116" t="s">
        <v>117</v>
      </c>
      <c r="AF18" s="22">
        <f t="shared" si="8"/>
        <v>1.25</v>
      </c>
      <c r="AG18" s="15">
        <f t="shared" si="1"/>
        <v>6</v>
      </c>
      <c r="AH18" s="7">
        <f t="shared" si="2"/>
        <v>10</v>
      </c>
      <c r="AI18" s="7">
        <f t="shared" si="3"/>
        <v>10</v>
      </c>
      <c r="AJ18" s="7">
        <f t="shared" si="4"/>
        <v>5</v>
      </c>
      <c r="AK18" s="12">
        <f t="shared" si="5"/>
        <v>3</v>
      </c>
      <c r="AL18" s="14">
        <f t="shared" si="9"/>
        <v>34</v>
      </c>
      <c r="AM18" s="16" t="str">
        <f t="shared" si="7"/>
        <v>Barrier</v>
      </c>
      <c r="AN18" s="116" t="s">
        <v>118</v>
      </c>
      <c r="AO18" s="114">
        <v>5</v>
      </c>
      <c r="AP18" s="25" t="s">
        <v>132</v>
      </c>
    </row>
    <row r="19" spans="1:42" ht="30" x14ac:dyDescent="0.25">
      <c r="A19" s="82">
        <v>44069</v>
      </c>
      <c r="B19" s="76"/>
      <c r="C19" s="25">
        <v>1804152</v>
      </c>
      <c r="D19" s="25" t="s">
        <v>92</v>
      </c>
      <c r="E19" s="77">
        <v>9</v>
      </c>
      <c r="F19" s="78">
        <v>652746.539209162</v>
      </c>
      <c r="G19" s="79">
        <v>6018036.2874595504</v>
      </c>
      <c r="H19" s="77" t="s">
        <v>93</v>
      </c>
      <c r="I19" s="77" t="s">
        <v>123</v>
      </c>
      <c r="J19" s="42"/>
      <c r="K19" s="77"/>
      <c r="L19" s="25" t="s">
        <v>95</v>
      </c>
      <c r="M19" s="25" t="s">
        <v>96</v>
      </c>
      <c r="N19" s="114">
        <v>1</v>
      </c>
      <c r="O19" s="114">
        <v>20</v>
      </c>
      <c r="P19" s="116" t="s">
        <v>97</v>
      </c>
      <c r="Q19" s="121"/>
      <c r="R19" s="116" t="s">
        <v>97</v>
      </c>
      <c r="S19" s="116" t="s">
        <v>97</v>
      </c>
      <c r="T19" s="122"/>
      <c r="U19" s="114">
        <v>2</v>
      </c>
      <c r="V19" s="116">
        <v>0.27</v>
      </c>
      <c r="W19" s="114">
        <v>0.12</v>
      </c>
      <c r="X19" s="116" t="s">
        <v>98</v>
      </c>
      <c r="Y19" s="114">
        <v>4</v>
      </c>
      <c r="Z19" s="114">
        <v>1.5</v>
      </c>
      <c r="AA19" s="116">
        <v>5</v>
      </c>
      <c r="AB19" s="25" t="s">
        <v>97</v>
      </c>
      <c r="AC19" s="25" t="s">
        <v>97</v>
      </c>
      <c r="AD19" s="116" t="s">
        <v>99</v>
      </c>
      <c r="AE19" s="116" t="s">
        <v>117</v>
      </c>
      <c r="AF19" s="22">
        <f t="shared" si="8"/>
        <v>1.5</v>
      </c>
      <c r="AG19" s="15">
        <f t="shared" si="1"/>
        <v>3</v>
      </c>
      <c r="AH19" s="7">
        <f t="shared" si="2"/>
        <v>10</v>
      </c>
      <c r="AI19" s="7">
        <f t="shared" si="3"/>
        <v>5</v>
      </c>
      <c r="AJ19" s="7">
        <f t="shared" si="4"/>
        <v>10</v>
      </c>
      <c r="AK19" s="12">
        <f t="shared" si="5"/>
        <v>6</v>
      </c>
      <c r="AL19" s="14">
        <f t="shared" si="9"/>
        <v>34</v>
      </c>
      <c r="AM19" s="16" t="str">
        <f t="shared" si="7"/>
        <v>Barrier</v>
      </c>
      <c r="AN19" s="116" t="s">
        <v>118</v>
      </c>
      <c r="AO19" s="114">
        <v>5</v>
      </c>
      <c r="AP19" s="25" t="s">
        <v>133</v>
      </c>
    </row>
    <row r="20" spans="1:42" x14ac:dyDescent="0.25">
      <c r="A20" s="82">
        <v>44070</v>
      </c>
      <c r="B20" s="76"/>
      <c r="C20" s="25">
        <v>1800073</v>
      </c>
      <c r="D20" s="25" t="s">
        <v>92</v>
      </c>
      <c r="E20" s="77">
        <v>9</v>
      </c>
      <c r="F20" s="78">
        <v>661765.45069832797</v>
      </c>
      <c r="G20" s="79">
        <v>6039489.9599989103</v>
      </c>
      <c r="H20" s="25" t="s">
        <v>128</v>
      </c>
      <c r="I20" s="77" t="s">
        <v>134</v>
      </c>
      <c r="J20" s="42"/>
      <c r="K20" s="77" t="s">
        <v>154</v>
      </c>
      <c r="L20" s="25" t="s">
        <v>95</v>
      </c>
      <c r="M20" s="25" t="s">
        <v>96</v>
      </c>
      <c r="N20" s="114">
        <v>0.9</v>
      </c>
      <c r="O20" s="114">
        <v>25</v>
      </c>
      <c r="P20" s="116" t="s">
        <v>97</v>
      </c>
      <c r="Q20" s="121"/>
      <c r="R20" s="116" t="s">
        <v>97</v>
      </c>
      <c r="S20" s="116" t="s">
        <v>98</v>
      </c>
      <c r="T20" s="116">
        <v>100</v>
      </c>
      <c r="U20" s="116">
        <v>2</v>
      </c>
      <c r="V20" s="116">
        <v>0</v>
      </c>
      <c r="W20" s="116">
        <v>0.7</v>
      </c>
      <c r="X20" s="116" t="s">
        <v>97</v>
      </c>
      <c r="Y20" s="116">
        <v>0</v>
      </c>
      <c r="Z20" s="116">
        <v>1</v>
      </c>
      <c r="AA20" s="116">
        <v>0</v>
      </c>
      <c r="AB20" s="25" t="s">
        <v>97</v>
      </c>
      <c r="AC20" s="25" t="s">
        <v>97</v>
      </c>
      <c r="AD20" s="116" t="s">
        <v>99</v>
      </c>
      <c r="AE20" s="116" t="s">
        <v>121</v>
      </c>
      <c r="AF20" s="22">
        <f t="shared" si="8"/>
        <v>1.1111111111111112</v>
      </c>
      <c r="AG20" s="15">
        <f t="shared" si="1"/>
        <v>3</v>
      </c>
      <c r="AH20" s="7">
        <f t="shared" si="2"/>
        <v>10</v>
      </c>
      <c r="AI20" s="7">
        <f t="shared" si="3"/>
        <v>0</v>
      </c>
      <c r="AJ20" s="7">
        <f t="shared" si="4"/>
        <v>0</v>
      </c>
      <c r="AK20" s="12">
        <f t="shared" si="5"/>
        <v>3</v>
      </c>
      <c r="AL20" s="14">
        <f t="shared" si="9"/>
        <v>16</v>
      </c>
      <c r="AM20" s="16" t="str">
        <f t="shared" si="7"/>
        <v>Potential</v>
      </c>
      <c r="AN20" s="116" t="s">
        <v>118</v>
      </c>
      <c r="AO20" s="116">
        <v>5</v>
      </c>
      <c r="AP20" s="25" t="s">
        <v>135</v>
      </c>
    </row>
    <row r="21" spans="1:42" x14ac:dyDescent="0.25">
      <c r="A21" s="82">
        <v>44070</v>
      </c>
      <c r="B21" s="76"/>
      <c r="C21" s="25">
        <v>1800071</v>
      </c>
      <c r="D21" s="25" t="s">
        <v>92</v>
      </c>
      <c r="E21" s="25">
        <v>9</v>
      </c>
      <c r="F21" s="75">
        <v>663216</v>
      </c>
      <c r="G21" s="81">
        <v>6042012</v>
      </c>
      <c r="H21" s="25" t="s">
        <v>136</v>
      </c>
      <c r="I21" s="25" t="s">
        <v>134</v>
      </c>
      <c r="J21" s="42"/>
      <c r="K21" s="25" t="s">
        <v>154</v>
      </c>
      <c r="L21" s="25" t="s">
        <v>95</v>
      </c>
      <c r="M21" s="25" t="s">
        <v>96</v>
      </c>
      <c r="N21" s="114">
        <v>0.8</v>
      </c>
      <c r="O21" s="114">
        <v>25</v>
      </c>
      <c r="P21" s="116" t="s">
        <v>97</v>
      </c>
      <c r="Q21" s="122"/>
      <c r="R21" s="116" t="s">
        <v>97</v>
      </c>
      <c r="S21" s="116" t="s">
        <v>98</v>
      </c>
      <c r="T21" s="114">
        <v>100</v>
      </c>
      <c r="U21" s="114">
        <v>1.8</v>
      </c>
      <c r="V21" s="116">
        <v>0</v>
      </c>
      <c r="W21" s="114">
        <v>0.5</v>
      </c>
      <c r="X21" s="116" t="s">
        <v>98</v>
      </c>
      <c r="Y21" s="114">
        <v>0</v>
      </c>
      <c r="Z21" s="114">
        <v>5</v>
      </c>
      <c r="AA21" s="116">
        <v>0</v>
      </c>
      <c r="AB21" s="25" t="s">
        <v>98</v>
      </c>
      <c r="AC21" s="25" t="s">
        <v>97</v>
      </c>
      <c r="AD21" s="116" t="s">
        <v>99</v>
      </c>
      <c r="AE21" s="116" t="s">
        <v>121</v>
      </c>
      <c r="AF21" s="22">
        <f t="shared" si="8"/>
        <v>6.25</v>
      </c>
      <c r="AG21" s="15">
        <f t="shared" si="1"/>
        <v>3</v>
      </c>
      <c r="AH21" s="7">
        <f t="shared" si="2"/>
        <v>10</v>
      </c>
      <c r="AI21" s="7">
        <f t="shared" si="3"/>
        <v>0</v>
      </c>
      <c r="AJ21" s="7">
        <f t="shared" si="4"/>
        <v>0</v>
      </c>
      <c r="AK21" s="12">
        <f t="shared" si="5"/>
        <v>6</v>
      </c>
      <c r="AL21" s="14">
        <f t="shared" si="9"/>
        <v>19</v>
      </c>
      <c r="AM21" s="16" t="str">
        <f t="shared" si="7"/>
        <v>Potential</v>
      </c>
      <c r="AN21" s="116" t="s">
        <v>118</v>
      </c>
      <c r="AO21" s="114">
        <v>5</v>
      </c>
      <c r="AP21" s="25" t="s">
        <v>138</v>
      </c>
    </row>
    <row r="22" spans="1:42" x14ac:dyDescent="0.25">
      <c r="A22" s="82">
        <v>44070</v>
      </c>
      <c r="B22" s="76"/>
      <c r="C22" s="25">
        <v>1800064</v>
      </c>
      <c r="D22" s="25" t="s">
        <v>92</v>
      </c>
      <c r="E22" s="77">
        <v>9</v>
      </c>
      <c r="F22" s="78">
        <v>665609.02209430397</v>
      </c>
      <c r="G22" s="79">
        <v>6044134.8838069001</v>
      </c>
      <c r="H22" s="77" t="s">
        <v>130</v>
      </c>
      <c r="I22" s="77" t="s">
        <v>134</v>
      </c>
      <c r="J22" s="80"/>
      <c r="K22" s="77" t="s">
        <v>154</v>
      </c>
      <c r="L22" s="25" t="s">
        <v>95</v>
      </c>
      <c r="M22" s="25" t="s">
        <v>96</v>
      </c>
      <c r="N22" s="114">
        <v>2.5</v>
      </c>
      <c r="O22" s="114">
        <v>14</v>
      </c>
      <c r="P22" s="116" t="s">
        <v>97</v>
      </c>
      <c r="Q22" s="122"/>
      <c r="R22" s="116" t="s">
        <v>98</v>
      </c>
      <c r="S22" s="116" t="s">
        <v>97</v>
      </c>
      <c r="T22" s="122"/>
      <c r="U22" s="114">
        <v>1</v>
      </c>
      <c r="V22" s="116">
        <v>0</v>
      </c>
      <c r="W22" s="114">
        <v>0.2</v>
      </c>
      <c r="X22" s="116" t="s">
        <v>97</v>
      </c>
      <c r="Y22" s="114">
        <v>2.5</v>
      </c>
      <c r="Z22" s="114">
        <v>3.2</v>
      </c>
      <c r="AA22" s="116">
        <v>1.5</v>
      </c>
      <c r="AB22" s="25" t="s">
        <v>97</v>
      </c>
      <c r="AC22" s="25" t="s">
        <v>97</v>
      </c>
      <c r="AD22" s="116" t="s">
        <v>99</v>
      </c>
      <c r="AE22" s="116" t="s">
        <v>100</v>
      </c>
      <c r="AF22" s="22">
        <f t="shared" si="8"/>
        <v>1.28</v>
      </c>
      <c r="AG22" s="15">
        <f t="shared" si="1"/>
        <v>0</v>
      </c>
      <c r="AH22" s="7">
        <f t="shared" si="2"/>
        <v>10</v>
      </c>
      <c r="AI22" s="7">
        <f t="shared" si="3"/>
        <v>0</v>
      </c>
      <c r="AJ22" s="7">
        <f t="shared" si="4"/>
        <v>5</v>
      </c>
      <c r="AK22" s="12">
        <f t="shared" si="5"/>
        <v>3</v>
      </c>
      <c r="AL22" s="14">
        <f t="shared" si="9"/>
        <v>18</v>
      </c>
      <c r="AM22" s="16" t="str">
        <f t="shared" si="7"/>
        <v>Potential</v>
      </c>
      <c r="AN22" s="116" t="s">
        <v>137</v>
      </c>
      <c r="AO22" s="114">
        <v>5</v>
      </c>
      <c r="AP22" s="25" t="s">
        <v>139</v>
      </c>
    </row>
    <row r="23" spans="1:42" x14ac:dyDescent="0.25">
      <c r="A23" s="82">
        <v>44070</v>
      </c>
      <c r="B23" s="76"/>
      <c r="C23" s="25">
        <v>1800062</v>
      </c>
      <c r="D23" s="25" t="s">
        <v>92</v>
      </c>
      <c r="E23" s="77">
        <v>9</v>
      </c>
      <c r="F23" s="78">
        <v>666847.20480056095</v>
      </c>
      <c r="G23" s="79">
        <v>6044305.1508315504</v>
      </c>
      <c r="H23" s="77" t="s">
        <v>140</v>
      </c>
      <c r="I23" s="77" t="s">
        <v>134</v>
      </c>
      <c r="J23" s="80"/>
      <c r="K23" s="77" t="s">
        <v>154</v>
      </c>
      <c r="L23" s="25" t="s">
        <v>95</v>
      </c>
      <c r="M23" s="25" t="s">
        <v>141</v>
      </c>
      <c r="N23" s="114">
        <v>4</v>
      </c>
      <c r="O23" s="114">
        <v>24</v>
      </c>
      <c r="P23" s="116" t="s">
        <v>97</v>
      </c>
      <c r="Q23" s="122"/>
      <c r="R23" s="116" t="s">
        <v>97</v>
      </c>
      <c r="S23" s="116" t="s">
        <v>97</v>
      </c>
      <c r="T23" s="122"/>
      <c r="U23" s="114">
        <v>1.6</v>
      </c>
      <c r="V23" s="116">
        <v>2</v>
      </c>
      <c r="W23" s="114">
        <v>3.8</v>
      </c>
      <c r="X23" s="116" t="s">
        <v>98</v>
      </c>
      <c r="Y23" s="114">
        <v>4</v>
      </c>
      <c r="Z23" s="114">
        <v>11.1</v>
      </c>
      <c r="AA23" s="116">
        <v>1.2</v>
      </c>
      <c r="AB23" s="25" t="s">
        <v>97</v>
      </c>
      <c r="AC23" s="25" t="s">
        <v>98</v>
      </c>
      <c r="AD23" s="116" t="s">
        <v>99</v>
      </c>
      <c r="AE23" s="116" t="s">
        <v>100</v>
      </c>
      <c r="AF23" s="22">
        <f t="shared" si="8"/>
        <v>2.7749999999999999</v>
      </c>
      <c r="AG23" s="15">
        <f t="shared" si="1"/>
        <v>3</v>
      </c>
      <c r="AH23" s="7">
        <f t="shared" si="2"/>
        <v>10</v>
      </c>
      <c r="AI23" s="7">
        <f t="shared" si="3"/>
        <v>10</v>
      </c>
      <c r="AJ23" s="7">
        <f t="shared" si="4"/>
        <v>10</v>
      </c>
      <c r="AK23" s="12">
        <f t="shared" si="5"/>
        <v>6</v>
      </c>
      <c r="AL23" s="14">
        <f t="shared" si="9"/>
        <v>39</v>
      </c>
      <c r="AM23" s="16" t="str">
        <f t="shared" si="7"/>
        <v>Barrier</v>
      </c>
      <c r="AN23" s="116" t="s">
        <v>101</v>
      </c>
      <c r="AO23" s="114">
        <v>20</v>
      </c>
      <c r="AP23" s="25" t="s">
        <v>142</v>
      </c>
    </row>
    <row r="24" spans="1:42" x14ac:dyDescent="0.25">
      <c r="A24" s="82">
        <v>44070</v>
      </c>
      <c r="B24" s="76"/>
      <c r="C24" s="25">
        <v>1800066</v>
      </c>
      <c r="D24" s="25" t="s">
        <v>92</v>
      </c>
      <c r="E24" s="77">
        <v>9</v>
      </c>
      <c r="F24" s="78">
        <v>665586.39408702601</v>
      </c>
      <c r="G24" s="79">
        <v>6043992.7826889399</v>
      </c>
      <c r="H24" s="77" t="s">
        <v>130</v>
      </c>
      <c r="I24" s="77" t="s">
        <v>143</v>
      </c>
      <c r="J24" s="80"/>
      <c r="K24" s="77" t="s">
        <v>155</v>
      </c>
      <c r="L24" s="25" t="s">
        <v>95</v>
      </c>
      <c r="M24" s="25" t="s">
        <v>144</v>
      </c>
      <c r="N24" s="114">
        <v>3.2</v>
      </c>
      <c r="O24" s="114">
        <v>7.5</v>
      </c>
      <c r="P24" s="116" t="s">
        <v>98</v>
      </c>
      <c r="Q24" s="114">
        <v>1</v>
      </c>
      <c r="R24" s="116" t="s">
        <v>98</v>
      </c>
      <c r="S24" s="116" t="s">
        <v>97</v>
      </c>
      <c r="T24" s="122"/>
      <c r="U24" s="114">
        <v>0</v>
      </c>
      <c r="V24" s="116">
        <v>0</v>
      </c>
      <c r="W24" s="114">
        <v>0</v>
      </c>
      <c r="X24" s="116" t="s">
        <v>97</v>
      </c>
      <c r="Y24" s="114">
        <v>0</v>
      </c>
      <c r="Z24" s="114">
        <v>3.2</v>
      </c>
      <c r="AA24" s="116">
        <v>2</v>
      </c>
      <c r="AB24" s="25" t="s">
        <v>97</v>
      </c>
      <c r="AC24" s="25" t="s">
        <v>97</v>
      </c>
      <c r="AD24" s="116" t="s">
        <v>99</v>
      </c>
      <c r="AE24" s="116" t="s">
        <v>100</v>
      </c>
      <c r="AF24" s="22">
        <f t="shared" si="8"/>
        <v>1</v>
      </c>
      <c r="AG24" s="15">
        <f t="shared" si="1"/>
        <v>0</v>
      </c>
      <c r="AH24" s="7">
        <f t="shared" si="2"/>
        <v>0</v>
      </c>
      <c r="AI24" s="7">
        <f t="shared" si="3"/>
        <v>0</v>
      </c>
      <c r="AJ24" s="7">
        <f t="shared" si="4"/>
        <v>0</v>
      </c>
      <c r="AK24" s="12">
        <f t="shared" si="5"/>
        <v>3</v>
      </c>
      <c r="AL24" s="14">
        <f t="shared" si="9"/>
        <v>3</v>
      </c>
      <c r="AM24" s="16" t="str">
        <f t="shared" si="7"/>
        <v>Passable</v>
      </c>
      <c r="AN24" s="121"/>
      <c r="AO24" s="122"/>
      <c r="AP24" s="25" t="s">
        <v>145</v>
      </c>
    </row>
    <row r="25" spans="1:42" x14ac:dyDescent="0.25">
      <c r="A25" s="82">
        <v>44070</v>
      </c>
      <c r="B25" s="76"/>
      <c r="C25" s="25">
        <v>1805595</v>
      </c>
      <c r="D25" s="25" t="s">
        <v>92</v>
      </c>
      <c r="E25" s="77">
        <v>9</v>
      </c>
      <c r="F25" s="78">
        <v>665623.56530409004</v>
      </c>
      <c r="G25" s="79">
        <v>6044045.2564013302</v>
      </c>
      <c r="H25" s="77" t="s">
        <v>140</v>
      </c>
      <c r="I25" s="77" t="s">
        <v>143</v>
      </c>
      <c r="J25" s="80"/>
      <c r="K25" s="77" t="s">
        <v>155</v>
      </c>
      <c r="L25" s="25" t="s">
        <v>105</v>
      </c>
      <c r="M25" s="25" t="s">
        <v>113</v>
      </c>
      <c r="N25" s="114">
        <v>5</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145</v>
      </c>
    </row>
    <row r="26" spans="1:42" x14ac:dyDescent="0.25">
      <c r="A26" s="82">
        <v>44070</v>
      </c>
      <c r="B26" s="76"/>
      <c r="C26" s="25">
        <v>2020082701</v>
      </c>
      <c r="D26" s="25" t="s">
        <v>103</v>
      </c>
      <c r="E26" s="77">
        <v>9</v>
      </c>
      <c r="F26" s="78">
        <v>665574</v>
      </c>
      <c r="G26" s="79">
        <v>6043989</v>
      </c>
      <c r="H26" s="77" t="s">
        <v>130</v>
      </c>
      <c r="I26" s="77" t="s">
        <v>146</v>
      </c>
      <c r="J26" s="80"/>
      <c r="K26" s="77" t="s">
        <v>154</v>
      </c>
      <c r="L26" s="25" t="s">
        <v>105</v>
      </c>
      <c r="M26" s="25" t="s">
        <v>113</v>
      </c>
      <c r="N26" s="114">
        <v>4</v>
      </c>
      <c r="O26" s="114">
        <v>10</v>
      </c>
      <c r="P26" s="121"/>
      <c r="Q26" s="122"/>
      <c r="R26" s="121"/>
      <c r="S26" s="121"/>
      <c r="T26" s="122"/>
      <c r="U26" s="122"/>
      <c r="V26" s="121"/>
      <c r="W26" s="122"/>
      <c r="X26" s="121"/>
      <c r="Y26" s="122"/>
      <c r="Z26" s="122"/>
      <c r="AA26" s="121"/>
      <c r="AB26" s="25" t="s">
        <v>97</v>
      </c>
      <c r="AC26" s="25" t="s">
        <v>97</v>
      </c>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Passable</v>
      </c>
      <c r="AN26" s="121"/>
      <c r="AO26" s="122"/>
      <c r="AP26" s="25" t="s">
        <v>147</v>
      </c>
    </row>
    <row r="27" spans="1:42" x14ac:dyDescent="0.25">
      <c r="A27" s="82">
        <v>44071</v>
      </c>
      <c r="B27" s="76"/>
      <c r="C27" s="25">
        <v>1800060</v>
      </c>
      <c r="D27" s="25" t="s">
        <v>103</v>
      </c>
      <c r="E27" s="77">
        <v>9</v>
      </c>
      <c r="F27" s="78">
        <v>672404.70140713803</v>
      </c>
      <c r="G27" s="79">
        <v>6044146.31063178</v>
      </c>
      <c r="H27" s="77" t="s">
        <v>148</v>
      </c>
      <c r="I27" s="77" t="s">
        <v>134</v>
      </c>
      <c r="J27" s="80"/>
      <c r="K27" s="77" t="s">
        <v>154</v>
      </c>
      <c r="L27" s="25" t="s">
        <v>95</v>
      </c>
      <c r="M27" s="25" t="s">
        <v>96</v>
      </c>
      <c r="N27" s="114">
        <v>4.2</v>
      </c>
      <c r="O27" s="114">
        <v>24</v>
      </c>
      <c r="P27" s="116" t="s">
        <v>97</v>
      </c>
      <c r="Q27" s="122"/>
      <c r="R27" s="116" t="s">
        <v>97</v>
      </c>
      <c r="S27" s="116" t="s">
        <v>97</v>
      </c>
      <c r="T27" s="122"/>
      <c r="U27" s="114">
        <v>1</v>
      </c>
      <c r="V27" s="116">
        <v>0.2</v>
      </c>
      <c r="W27" s="114">
        <v>1</v>
      </c>
      <c r="X27" s="116" t="s">
        <v>97</v>
      </c>
      <c r="Y27" s="114">
        <v>2</v>
      </c>
      <c r="Z27" s="114">
        <v>12.5</v>
      </c>
      <c r="AA27" s="116">
        <v>1.5</v>
      </c>
      <c r="AB27" s="25" t="s">
        <v>97</v>
      </c>
      <c r="AC27" s="25" t="s">
        <v>98</v>
      </c>
      <c r="AD27" s="116" t="s">
        <v>99</v>
      </c>
      <c r="AE27" s="116" t="s">
        <v>100</v>
      </c>
      <c r="AF27" s="22">
        <f t="shared" si="8"/>
        <v>2.9761904761904763</v>
      </c>
      <c r="AG27" s="15">
        <f t="shared" si="1"/>
        <v>3</v>
      </c>
      <c r="AH27" s="7">
        <f t="shared" si="2"/>
        <v>10</v>
      </c>
      <c r="AI27" s="7">
        <f t="shared" si="3"/>
        <v>5</v>
      </c>
      <c r="AJ27" s="7">
        <f t="shared" si="4"/>
        <v>5</v>
      </c>
      <c r="AK27" s="12">
        <f t="shared" si="5"/>
        <v>6</v>
      </c>
      <c r="AL27" s="14">
        <f t="shared" si="9"/>
        <v>29</v>
      </c>
      <c r="AM27" s="16" t="str">
        <f t="shared" si="7"/>
        <v>Barrier</v>
      </c>
      <c r="AN27" s="116" t="s">
        <v>101</v>
      </c>
      <c r="AO27" s="114">
        <v>20</v>
      </c>
      <c r="AP27" s="25" t="s">
        <v>152</v>
      </c>
    </row>
    <row r="28" spans="1:42" x14ac:dyDescent="0.25">
      <c r="A28" s="82">
        <v>44071</v>
      </c>
      <c r="B28" s="76"/>
      <c r="C28" s="25">
        <v>1800213</v>
      </c>
      <c r="D28" s="25" t="s">
        <v>103</v>
      </c>
      <c r="E28" s="77">
        <v>9</v>
      </c>
      <c r="F28" s="78">
        <v>670240.81780552701</v>
      </c>
      <c r="G28" s="79">
        <v>6044772.3294465402</v>
      </c>
      <c r="H28" s="77" t="s">
        <v>150</v>
      </c>
      <c r="I28" s="77" t="s">
        <v>134</v>
      </c>
      <c r="J28" s="80"/>
      <c r="K28" s="77" t="s">
        <v>154</v>
      </c>
      <c r="L28" s="25" t="s">
        <v>95</v>
      </c>
      <c r="M28" s="25" t="s">
        <v>96</v>
      </c>
      <c r="N28" s="114">
        <v>1.75</v>
      </c>
      <c r="O28" s="114">
        <v>25</v>
      </c>
      <c r="P28" s="116" t="s">
        <v>97</v>
      </c>
      <c r="Q28" s="122"/>
      <c r="R28" s="116" t="s">
        <v>97</v>
      </c>
      <c r="S28" s="116" t="s">
        <v>97</v>
      </c>
      <c r="T28" s="122"/>
      <c r="U28" s="114">
        <v>3</v>
      </c>
      <c r="V28" s="116">
        <v>0</v>
      </c>
      <c r="W28" s="114">
        <v>1.35</v>
      </c>
      <c r="X28" s="116" t="s">
        <v>98</v>
      </c>
      <c r="Y28" s="114">
        <v>2</v>
      </c>
      <c r="Z28" s="114">
        <v>6.3</v>
      </c>
      <c r="AA28" s="116">
        <v>5.5</v>
      </c>
      <c r="AB28" s="25" t="s">
        <v>97</v>
      </c>
      <c r="AC28" s="25" t="s">
        <v>98</v>
      </c>
      <c r="AD28" s="116" t="s">
        <v>99</v>
      </c>
      <c r="AE28" s="116" t="s">
        <v>100</v>
      </c>
      <c r="AF28" s="22">
        <f t="shared" si="8"/>
        <v>3.6</v>
      </c>
      <c r="AG28" s="15">
        <f t="shared" si="1"/>
        <v>3</v>
      </c>
      <c r="AH28" s="7">
        <f t="shared" si="2"/>
        <v>10</v>
      </c>
      <c r="AI28" s="7">
        <f t="shared" si="3"/>
        <v>0</v>
      </c>
      <c r="AJ28" s="7">
        <f t="shared" si="4"/>
        <v>5</v>
      </c>
      <c r="AK28" s="12">
        <f t="shared" si="5"/>
        <v>6</v>
      </c>
      <c r="AL28" s="14">
        <f t="shared" si="9"/>
        <v>24</v>
      </c>
      <c r="AM28" s="16" t="str">
        <f t="shared" si="7"/>
        <v>Barrier</v>
      </c>
      <c r="AN28" s="116" t="s">
        <v>101</v>
      </c>
      <c r="AO28" s="114">
        <v>12</v>
      </c>
      <c r="AP28" s="25" t="s">
        <v>151</v>
      </c>
    </row>
    <row r="29" spans="1:42" x14ac:dyDescent="0.25">
      <c r="A29" s="82">
        <v>44071</v>
      </c>
      <c r="B29" s="76"/>
      <c r="C29" s="25">
        <v>1801069</v>
      </c>
      <c r="D29" s="25" t="s">
        <v>103</v>
      </c>
      <c r="E29" s="77">
        <v>9</v>
      </c>
      <c r="F29" s="78">
        <v>660454.32060591294</v>
      </c>
      <c r="G29" s="79">
        <v>6037919.0739658298</v>
      </c>
      <c r="H29" s="77" t="s">
        <v>153</v>
      </c>
      <c r="I29" s="77" t="s">
        <v>134</v>
      </c>
      <c r="J29" s="80"/>
      <c r="K29" s="77" t="s">
        <v>154</v>
      </c>
      <c r="L29" s="25" t="s">
        <v>95</v>
      </c>
      <c r="M29" s="25" t="s">
        <v>96</v>
      </c>
      <c r="N29" s="114">
        <v>2.5</v>
      </c>
      <c r="O29" s="114">
        <v>15</v>
      </c>
      <c r="P29" s="116" t="s">
        <v>98</v>
      </c>
      <c r="Q29" s="114">
        <v>1.9</v>
      </c>
      <c r="R29" s="116" t="s">
        <v>98</v>
      </c>
      <c r="S29" s="116" t="s">
        <v>97</v>
      </c>
      <c r="T29" s="122"/>
      <c r="U29" s="114">
        <v>1</v>
      </c>
      <c r="V29" s="116">
        <v>0</v>
      </c>
      <c r="W29" s="114">
        <v>0</v>
      </c>
      <c r="X29" s="116" t="s">
        <v>97</v>
      </c>
      <c r="Y29" s="114">
        <v>2</v>
      </c>
      <c r="Z29" s="114">
        <v>4.7</v>
      </c>
      <c r="AA29" s="116">
        <v>1.8</v>
      </c>
      <c r="AB29" s="25" t="s">
        <v>98</v>
      </c>
      <c r="AC29" s="25" t="s">
        <v>97</v>
      </c>
      <c r="AD29" s="116" t="s">
        <v>99</v>
      </c>
      <c r="AE29" s="116" t="s">
        <v>100</v>
      </c>
      <c r="AF29" s="22">
        <f t="shared" si="8"/>
        <v>1.8800000000000001</v>
      </c>
      <c r="AG29" s="15">
        <f t="shared" si="1"/>
        <v>3</v>
      </c>
      <c r="AH29" s="7">
        <f t="shared" si="2"/>
        <v>0</v>
      </c>
      <c r="AI29" s="7">
        <f t="shared" si="3"/>
        <v>0</v>
      </c>
      <c r="AJ29" s="7">
        <f t="shared" si="4"/>
        <v>5</v>
      </c>
      <c r="AK29" s="12">
        <f t="shared" si="5"/>
        <v>6</v>
      </c>
      <c r="AL29" s="14">
        <f t="shared" si="9"/>
        <v>14</v>
      </c>
      <c r="AM29" s="16" t="str">
        <f t="shared" si="7"/>
        <v>Passable</v>
      </c>
      <c r="AN29" s="121"/>
      <c r="AO29" s="122"/>
      <c r="AP29" s="25" t="s">
        <v>149</v>
      </c>
    </row>
    <row r="30" spans="1:42" x14ac:dyDescent="0.25">
      <c r="A30" s="82">
        <v>44071</v>
      </c>
      <c r="B30" s="76"/>
      <c r="C30" s="25">
        <v>1800076</v>
      </c>
      <c r="D30" s="25" t="s">
        <v>92</v>
      </c>
      <c r="E30" s="77">
        <v>9</v>
      </c>
      <c r="F30" s="78">
        <v>660627</v>
      </c>
      <c r="G30" s="79">
        <v>6037843</v>
      </c>
      <c r="H30" s="77" t="s">
        <v>153</v>
      </c>
      <c r="I30" s="77" t="s">
        <v>143</v>
      </c>
      <c r="J30" s="80"/>
      <c r="K30" s="77" t="s">
        <v>160</v>
      </c>
      <c r="L30" s="25" t="s">
        <v>95</v>
      </c>
      <c r="M30" s="25" t="s">
        <v>96</v>
      </c>
      <c r="N30" s="114">
        <v>0.9</v>
      </c>
      <c r="O30" s="114">
        <v>25</v>
      </c>
      <c r="P30" s="116" t="s">
        <v>98</v>
      </c>
      <c r="Q30" s="114">
        <v>0.3</v>
      </c>
      <c r="R30" s="116" t="s">
        <v>98</v>
      </c>
      <c r="S30" s="116" t="s">
        <v>98</v>
      </c>
      <c r="T30" s="114">
        <v>10</v>
      </c>
      <c r="U30" s="114">
        <v>2</v>
      </c>
      <c r="V30" s="116">
        <v>0</v>
      </c>
      <c r="W30" s="114">
        <v>0.4</v>
      </c>
      <c r="X30" s="116" t="s">
        <v>97</v>
      </c>
      <c r="Y30" s="114">
        <v>1</v>
      </c>
      <c r="Z30" s="114">
        <v>3.5</v>
      </c>
      <c r="AA30" s="116">
        <v>3</v>
      </c>
      <c r="AB30" s="25" t="s">
        <v>97</v>
      </c>
      <c r="AC30" s="25" t="s">
        <v>97</v>
      </c>
      <c r="AD30" s="116" t="s">
        <v>99</v>
      </c>
      <c r="AE30" s="116" t="s">
        <v>100</v>
      </c>
      <c r="AF30" s="22">
        <f t="shared" si="8"/>
        <v>3.8888888888888888</v>
      </c>
      <c r="AG30" s="15">
        <f t="shared" si="1"/>
        <v>3</v>
      </c>
      <c r="AH30" s="7">
        <f t="shared" si="2"/>
        <v>0</v>
      </c>
      <c r="AI30" s="7">
        <f t="shared" si="3"/>
        <v>0</v>
      </c>
      <c r="AJ30" s="7">
        <f t="shared" si="4"/>
        <v>5</v>
      </c>
      <c r="AK30" s="12">
        <f t="shared" si="5"/>
        <v>6</v>
      </c>
      <c r="AL30" s="14">
        <f t="shared" si="9"/>
        <v>14</v>
      </c>
      <c r="AM30" s="16" t="str">
        <f t="shared" si="7"/>
        <v>Passable</v>
      </c>
      <c r="AN30" s="121"/>
      <c r="AO30" s="122"/>
      <c r="AP30" s="25" t="s">
        <v>156</v>
      </c>
    </row>
    <row r="31" spans="1:42" x14ac:dyDescent="0.25">
      <c r="A31" s="82">
        <v>44072</v>
      </c>
      <c r="B31" s="76"/>
      <c r="C31" s="25">
        <v>2020083101</v>
      </c>
      <c r="D31" s="25" t="s">
        <v>92</v>
      </c>
      <c r="E31" s="77">
        <v>9</v>
      </c>
      <c r="F31" s="78">
        <v>628108</v>
      </c>
      <c r="G31" s="79">
        <v>6059632</v>
      </c>
      <c r="H31" s="77" t="s">
        <v>157</v>
      </c>
      <c r="I31" s="77" t="s">
        <v>143</v>
      </c>
      <c r="J31" s="80"/>
      <c r="K31" s="77" t="s">
        <v>160</v>
      </c>
      <c r="L31" s="25" t="s">
        <v>95</v>
      </c>
      <c r="M31" s="25" t="s">
        <v>96</v>
      </c>
      <c r="N31" s="114">
        <v>2</v>
      </c>
      <c r="O31" s="114">
        <v>22</v>
      </c>
      <c r="P31" s="116" t="s">
        <v>98</v>
      </c>
      <c r="Q31" s="114">
        <v>0.15</v>
      </c>
      <c r="R31" s="116" t="s">
        <v>98</v>
      </c>
      <c r="S31" s="116" t="s">
        <v>98</v>
      </c>
      <c r="T31" s="114">
        <v>100</v>
      </c>
      <c r="U31" s="114">
        <v>1</v>
      </c>
      <c r="V31" s="116">
        <v>0</v>
      </c>
      <c r="W31" s="114">
        <v>0.3</v>
      </c>
      <c r="X31" s="116" t="s">
        <v>97</v>
      </c>
      <c r="Y31" s="114">
        <v>0</v>
      </c>
      <c r="Z31" s="114">
        <v>6</v>
      </c>
      <c r="AA31" s="116">
        <v>0</v>
      </c>
      <c r="AB31" s="25" t="s">
        <v>98</v>
      </c>
      <c r="AC31" s="25" t="s">
        <v>97</v>
      </c>
      <c r="AD31" s="116" t="s">
        <v>99</v>
      </c>
      <c r="AE31" s="116" t="s">
        <v>100</v>
      </c>
      <c r="AF31" s="22">
        <f t="shared" si="8"/>
        <v>3</v>
      </c>
      <c r="AG31" s="15">
        <f t="shared" si="1"/>
        <v>3</v>
      </c>
      <c r="AH31" s="7">
        <f t="shared" si="2"/>
        <v>5</v>
      </c>
      <c r="AI31" s="7">
        <f t="shared" si="3"/>
        <v>0</v>
      </c>
      <c r="AJ31" s="7">
        <f t="shared" si="4"/>
        <v>0</v>
      </c>
      <c r="AK31" s="12">
        <f t="shared" si="5"/>
        <v>6</v>
      </c>
      <c r="AL31" s="14">
        <f t="shared" si="9"/>
        <v>14</v>
      </c>
      <c r="AM31" s="16" t="str">
        <f t="shared" si="7"/>
        <v>Passable</v>
      </c>
      <c r="AN31" s="121"/>
      <c r="AO31" s="122"/>
      <c r="AP31" s="25" t="s">
        <v>158</v>
      </c>
    </row>
    <row r="32" spans="1:42" x14ac:dyDescent="0.25">
      <c r="A32" s="82">
        <v>44074</v>
      </c>
      <c r="B32" s="76"/>
      <c r="C32" s="25">
        <v>1805606</v>
      </c>
      <c r="D32" s="25" t="s">
        <v>103</v>
      </c>
      <c r="E32" s="77">
        <v>9</v>
      </c>
      <c r="F32" s="78">
        <v>631091.97519472404</v>
      </c>
      <c r="G32" s="79">
        <v>6055866.47529421</v>
      </c>
      <c r="H32" s="77" t="s">
        <v>159</v>
      </c>
      <c r="I32" s="77" t="s">
        <v>143</v>
      </c>
      <c r="J32" s="80"/>
      <c r="K32" s="77" t="s">
        <v>160</v>
      </c>
      <c r="L32" s="25" t="s">
        <v>95</v>
      </c>
      <c r="M32" s="25" t="s">
        <v>96</v>
      </c>
      <c r="N32" s="114">
        <v>2.5</v>
      </c>
      <c r="O32" s="114">
        <v>17</v>
      </c>
      <c r="P32" s="116" t="s">
        <v>97</v>
      </c>
      <c r="Q32" s="122"/>
      <c r="R32" s="116" t="s">
        <v>97</v>
      </c>
      <c r="S32" s="116" t="s">
        <v>97</v>
      </c>
      <c r="T32" s="122"/>
      <c r="U32" s="114">
        <v>0.8</v>
      </c>
      <c r="V32" s="116">
        <v>0.57999999999999996</v>
      </c>
      <c r="W32" s="114">
        <v>0.56999999999999995</v>
      </c>
      <c r="X32" s="116" t="s">
        <v>97</v>
      </c>
      <c r="Y32" s="114">
        <v>4</v>
      </c>
      <c r="Z32" s="114">
        <v>3.8</v>
      </c>
      <c r="AA32" s="116">
        <v>4.5</v>
      </c>
      <c r="AB32" s="25" t="s">
        <v>97</v>
      </c>
      <c r="AC32" s="25" t="s">
        <v>97</v>
      </c>
      <c r="AD32" s="116" t="s">
        <v>99</v>
      </c>
      <c r="AE32" s="116" t="s">
        <v>100</v>
      </c>
      <c r="AF32" s="22">
        <f t="shared" si="8"/>
        <v>1.52</v>
      </c>
      <c r="AG32" s="15">
        <f t="shared" si="1"/>
        <v>3</v>
      </c>
      <c r="AH32" s="7">
        <f t="shared" si="2"/>
        <v>10</v>
      </c>
      <c r="AI32" s="7">
        <f t="shared" si="3"/>
        <v>10</v>
      </c>
      <c r="AJ32" s="7">
        <f t="shared" si="4"/>
        <v>10</v>
      </c>
      <c r="AK32" s="12">
        <f t="shared" si="5"/>
        <v>6</v>
      </c>
      <c r="AL32" s="14">
        <f t="shared" si="9"/>
        <v>39</v>
      </c>
      <c r="AM32" s="16" t="str">
        <f t="shared" si="7"/>
        <v>Barrier</v>
      </c>
      <c r="AN32" s="116" t="s">
        <v>118</v>
      </c>
      <c r="AO32" s="114">
        <v>6</v>
      </c>
      <c r="AP32" s="25" t="s">
        <v>161</v>
      </c>
    </row>
    <row r="33" spans="1:42" x14ac:dyDescent="0.25">
      <c r="A33" s="82">
        <v>44074</v>
      </c>
      <c r="B33" s="76"/>
      <c r="C33" s="25">
        <v>1805608</v>
      </c>
      <c r="D33" s="25" t="s">
        <v>103</v>
      </c>
      <c r="E33" s="77">
        <v>9</v>
      </c>
      <c r="F33" s="78">
        <v>634336</v>
      </c>
      <c r="G33" s="79">
        <v>6054609</v>
      </c>
      <c r="H33" s="77" t="s">
        <v>162</v>
      </c>
      <c r="I33" s="77" t="s">
        <v>143</v>
      </c>
      <c r="J33" s="80"/>
      <c r="K33" s="77" t="s">
        <v>160</v>
      </c>
      <c r="L33" s="25" t="s">
        <v>95</v>
      </c>
      <c r="M33" s="25" t="s">
        <v>96</v>
      </c>
      <c r="N33" s="114">
        <v>3</v>
      </c>
      <c r="O33" s="114">
        <v>15</v>
      </c>
      <c r="P33" s="116" t="s">
        <v>97</v>
      </c>
      <c r="Q33" s="122"/>
      <c r="R33" s="116" t="s">
        <v>97</v>
      </c>
      <c r="S33" s="116" t="s">
        <v>97</v>
      </c>
      <c r="T33" s="122"/>
      <c r="U33" s="114">
        <v>0.8</v>
      </c>
      <c r="V33" s="116">
        <v>0.27</v>
      </c>
      <c r="W33" s="114">
        <v>0.47</v>
      </c>
      <c r="X33" s="116" t="s">
        <v>97</v>
      </c>
      <c r="Y33" s="114">
        <v>2</v>
      </c>
      <c r="Z33" s="114">
        <v>5.3</v>
      </c>
      <c r="AA33" s="116">
        <v>2</v>
      </c>
      <c r="AB33" s="25" t="s">
        <v>97</v>
      </c>
      <c r="AC33" s="25" t="s">
        <v>97</v>
      </c>
      <c r="AD33" s="116" t="s">
        <v>99</v>
      </c>
      <c r="AE33" s="116" t="s">
        <v>100</v>
      </c>
      <c r="AF33" s="22">
        <f t="shared" si="8"/>
        <v>1.7666666666666666</v>
      </c>
      <c r="AG33" s="15">
        <f t="shared" si="1"/>
        <v>3</v>
      </c>
      <c r="AH33" s="7">
        <f t="shared" si="2"/>
        <v>10</v>
      </c>
      <c r="AI33" s="7">
        <f t="shared" si="3"/>
        <v>5</v>
      </c>
      <c r="AJ33" s="7">
        <f t="shared" si="4"/>
        <v>5</v>
      </c>
      <c r="AK33" s="12">
        <f t="shared" si="5"/>
        <v>6</v>
      </c>
      <c r="AL33" s="14">
        <f t="shared" si="9"/>
        <v>29</v>
      </c>
      <c r="AM33" s="16" t="str">
        <f t="shared" si="7"/>
        <v>Barrier</v>
      </c>
      <c r="AN33" s="116" t="s">
        <v>118</v>
      </c>
      <c r="AO33" s="114">
        <v>7</v>
      </c>
      <c r="AP33" s="25" t="s">
        <v>163</v>
      </c>
    </row>
    <row r="34" spans="1:42" x14ac:dyDescent="0.25">
      <c r="A34" s="82">
        <v>44079</v>
      </c>
      <c r="B34" s="76"/>
      <c r="C34" s="25">
        <v>14000079</v>
      </c>
      <c r="D34" s="25" t="s">
        <v>92</v>
      </c>
      <c r="E34" s="77">
        <v>9</v>
      </c>
      <c r="F34" s="78">
        <v>650567.01099132095</v>
      </c>
      <c r="G34" s="79">
        <v>5993273.9768573102</v>
      </c>
      <c r="H34" s="77" t="s">
        <v>164</v>
      </c>
      <c r="I34" s="77" t="s">
        <v>165</v>
      </c>
      <c r="J34" s="80"/>
      <c r="K34" s="77"/>
      <c r="L34" s="25" t="s">
        <v>95</v>
      </c>
      <c r="M34" s="25" t="s">
        <v>96</v>
      </c>
      <c r="N34" s="114">
        <v>1.25</v>
      </c>
      <c r="O34" s="114">
        <v>6.5</v>
      </c>
      <c r="P34" s="116" t="s">
        <v>97</v>
      </c>
      <c r="Q34" s="122"/>
      <c r="R34" s="116" t="s">
        <v>97</v>
      </c>
      <c r="S34" s="116" t="s">
        <v>97</v>
      </c>
      <c r="T34" s="122"/>
      <c r="U34" s="114">
        <v>0.3</v>
      </c>
      <c r="V34" s="116">
        <v>0.45</v>
      </c>
      <c r="W34" s="114">
        <v>0.7</v>
      </c>
      <c r="X34" s="116" t="s">
        <v>97</v>
      </c>
      <c r="Y34" s="114">
        <v>2</v>
      </c>
      <c r="Z34" s="114">
        <v>2.6</v>
      </c>
      <c r="AA34" s="116">
        <v>4</v>
      </c>
      <c r="AB34" s="25" t="s">
        <v>97</v>
      </c>
      <c r="AC34" s="25" t="s">
        <v>98</v>
      </c>
      <c r="AD34" s="116" t="s">
        <v>99</v>
      </c>
      <c r="AE34" s="116" t="s">
        <v>100</v>
      </c>
      <c r="AF34" s="22">
        <f t="shared" si="8"/>
        <v>2.08</v>
      </c>
      <c r="AG34" s="15">
        <f t="shared" si="1"/>
        <v>0</v>
      </c>
      <c r="AH34" s="7">
        <f t="shared" si="2"/>
        <v>10</v>
      </c>
      <c r="AI34" s="7">
        <f t="shared" si="3"/>
        <v>10</v>
      </c>
      <c r="AJ34" s="7">
        <f t="shared" si="4"/>
        <v>5</v>
      </c>
      <c r="AK34" s="12">
        <f t="shared" si="5"/>
        <v>6</v>
      </c>
      <c r="AL34" s="14">
        <f t="shared" si="9"/>
        <v>31</v>
      </c>
      <c r="AM34" s="16" t="str">
        <f t="shared" si="7"/>
        <v>Barrier</v>
      </c>
      <c r="AN34" s="116" t="s">
        <v>101</v>
      </c>
      <c r="AO34" s="114">
        <v>10</v>
      </c>
      <c r="AP34" s="25" t="s">
        <v>166</v>
      </c>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dw1J+4MSdC3GNYiWCA4oVhmp9HfizmcSDDduNlBq5ggpOj648vZwMjyEW0oDOlkIxNltmaKO0jvjR5SpnPkvvw==" saltValue="n7y2tRdBdJr1x/BuE3iTH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2020-10-20T17:51:26Z</dcterms:modified>
</cp:coreProperties>
</file>